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work\2. Master Plan\23. (GBS) MIL급 LWIR 카메라 개발\1. Temp Calibration Chamber 개발\4. 검수서\"/>
    </mc:Choice>
  </mc:AlternateContent>
  <xr:revisionPtr revIDLastSave="0" documentId="13_ncr:1_{83B3B8AC-CF5D-41C1-9666-8E245077A7C6}" xr6:coauthVersionLast="47" xr6:coauthVersionMax="47" xr10:uidLastSave="{00000000-0000-0000-0000-000000000000}"/>
  <bookViews>
    <workbookView xWindow="-98" yWindow="-98" windowWidth="21795" windowHeight="12975" tabRatio="590" xr2:uid="{00000000-000D-0000-FFFF-FFFF00000000}"/>
  </bookViews>
  <sheets>
    <sheet name="Check List" sheetId="2" r:id="rId1"/>
  </sheets>
  <definedNames>
    <definedName name="ASIL">#REF!</definedName>
    <definedName name="Current_Phase">#REF!</definedName>
    <definedName name="Master_Header">#REF!</definedName>
    <definedName name="Nachname">#REF!</definedName>
    <definedName name="Project_Phases">#REF!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orname">#REF!</definedName>
    <definedName name="WP_Phases">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1" i="2"/>
  <c r="H2" i="2" l="1"/>
  <c r="H1" i="2"/>
  <c r="H3" i="2"/>
</calcChain>
</file>

<file path=xl/sharedStrings.xml><?xml version="1.0" encoding="utf-8"?>
<sst xmlns="http://schemas.openxmlformats.org/spreadsheetml/2006/main" count="82" uniqueCount="55">
  <si>
    <t>No.</t>
    <phoneticPr fontId="2" type="noConversion"/>
  </si>
  <si>
    <t>비고</t>
    <phoneticPr fontId="2" type="noConversion"/>
  </si>
  <si>
    <t>Due Date</t>
    <phoneticPr fontId="2" type="noConversion"/>
  </si>
  <si>
    <t>Result</t>
    <phoneticPr fontId="2" type="noConversion"/>
  </si>
  <si>
    <t xml:space="preserve"> Description</t>
  </si>
  <si>
    <t>자료</t>
    <phoneticPr fontId="2" type="noConversion"/>
  </si>
  <si>
    <t>OK</t>
    <phoneticPr fontId="2" type="noConversion"/>
  </si>
  <si>
    <t>PENDING</t>
    <phoneticPr fontId="2" type="noConversion"/>
  </si>
  <si>
    <t>Issue</t>
    <phoneticPr fontId="2" type="noConversion"/>
  </si>
  <si>
    <t>검토사항</t>
    <phoneticPr fontId="2" type="noConversion"/>
  </si>
  <si>
    <t>ING</t>
    <phoneticPr fontId="2" type="noConversion"/>
  </si>
  <si>
    <t>항목</t>
    <phoneticPr fontId="2" type="noConversion"/>
  </si>
  <si>
    <t>기구</t>
    <phoneticPr fontId="2" type="noConversion"/>
  </si>
  <si>
    <t>조치사항</t>
    <phoneticPr fontId="2" type="noConversion"/>
  </si>
  <si>
    <t>Issue Date</t>
    <phoneticPr fontId="2" type="noConversion"/>
  </si>
  <si>
    <t>담당자</t>
    <phoneticPr fontId="2" type="noConversion"/>
  </si>
  <si>
    <t>손세현</t>
    <phoneticPr fontId="2" type="noConversion"/>
  </si>
  <si>
    <t>제어</t>
    <phoneticPr fontId="2" type="noConversion"/>
  </si>
  <si>
    <t>S/W</t>
    <phoneticPr fontId="2" type="noConversion"/>
  </si>
  <si>
    <t>1) Y축 모터 알람</t>
    <phoneticPr fontId="2" type="noConversion"/>
  </si>
  <si>
    <t>1) 모터 위치 표기 (16번 ~ 20번) 가 모두 16번으로 표기</t>
    <phoneticPr fontId="2" type="noConversion"/>
  </si>
  <si>
    <t>3) PC 에서 제어 이후 PLC 에서 조정 안됨</t>
    <phoneticPr fontId="2" type="noConversion"/>
  </si>
  <si>
    <t>1) 일부 버튼 동작 안함 (RUN 등)</t>
    <phoneticPr fontId="2" type="noConversion"/>
  </si>
  <si>
    <t>1) PLC 상태 업데이트 느림</t>
    <phoneticPr fontId="2" type="noConversion"/>
  </si>
  <si>
    <t>1) 제품이 YUV 모드일때 이미지 저장 필요</t>
    <phoneticPr fontId="2" type="noConversion"/>
  </si>
  <si>
    <t>알람</t>
    <phoneticPr fontId="2" type="noConversion"/>
  </si>
  <si>
    <t>2) 인터락 시에 부저 안울림</t>
    <phoneticPr fontId="2" type="noConversion"/>
  </si>
  <si>
    <t>1) 부저 소리 안남 : 최초 납품시에는 울렸음</t>
    <phoneticPr fontId="2" type="noConversion"/>
  </si>
  <si>
    <t>표기오류</t>
    <phoneticPr fontId="2" type="noConversion"/>
  </si>
  <si>
    <t>2) 모터위치 표기 오류</t>
    <phoneticPr fontId="2" type="noConversion"/>
  </si>
  <si>
    <t>인터락</t>
    <phoneticPr fontId="2" type="noConversion"/>
  </si>
  <si>
    <t>1) 도어락 문제</t>
    <phoneticPr fontId="2" type="noConversion"/>
  </si>
  <si>
    <t>2) MFC 고장</t>
    <phoneticPr fontId="2" type="noConversion"/>
  </si>
  <si>
    <t>소음</t>
    <phoneticPr fontId="2" type="noConversion"/>
  </si>
  <si>
    <t>1) 흑체 이동시 체인 소리</t>
    <phoneticPr fontId="2" type="noConversion"/>
  </si>
  <si>
    <t>1) 도어락 고장 (3개중 2개) : 변경 필요</t>
    <phoneticPr fontId="2" type="noConversion"/>
  </si>
  <si>
    <t>1) MFC 동작 안함 : 변경 필요</t>
    <phoneticPr fontId="2" type="noConversion"/>
  </si>
  <si>
    <t>1) 무조건 전원을 껏다가 켜야만 리셋됨 : 수정 필요</t>
    <phoneticPr fontId="2" type="noConversion"/>
  </si>
  <si>
    <t>1) X 축 움직임시에 체인이 끌리면서 소음 발생 : 수정 필요</t>
    <phoneticPr fontId="2" type="noConversion"/>
  </si>
  <si>
    <t>1) HZ 조정 필요</t>
    <phoneticPr fontId="2" type="noConversion"/>
  </si>
  <si>
    <t>통신</t>
    <phoneticPr fontId="2" type="noConversion"/>
  </si>
  <si>
    <t>1) 모터 알람 체크 : 모터 부하 -&gt; 감속기 변겅 필요</t>
    <phoneticPr fontId="2" type="noConversion"/>
  </si>
  <si>
    <t>통신</t>
    <phoneticPr fontId="2" type="noConversion"/>
  </si>
  <si>
    <t>기능</t>
    <phoneticPr fontId="2" type="noConversion"/>
  </si>
  <si>
    <t>1) 제품이 YUV 모드일때 저장이 안됨</t>
    <phoneticPr fontId="2" type="noConversion"/>
  </si>
  <si>
    <t>설치</t>
    <phoneticPr fontId="2" type="noConversion"/>
  </si>
  <si>
    <t>1) 모터 이동시 한참 뒤에 상태 업데이트 진행 (대략 25초 마다 업데이트)</t>
    <phoneticPr fontId="2" type="noConversion"/>
  </si>
  <si>
    <t xml:space="preserve">3) 흑체 사이 간격 </t>
    <phoneticPr fontId="2" type="noConversion"/>
  </si>
  <si>
    <t>1) 간격이 멀어서 모터 스트록 범위를 넘어섬, 간격 조정 필요 (330mm -&gt; 300mm)</t>
    <phoneticPr fontId="2" type="noConversion"/>
  </si>
  <si>
    <t>2) JIG Base Plate 설치</t>
    <phoneticPr fontId="2" type="noConversion"/>
  </si>
  <si>
    <t>1) Repeater 케이블 설치</t>
    <phoneticPr fontId="2" type="noConversion"/>
  </si>
  <si>
    <t>1) 설치 안됨 : 설치 필요 (케이블 준비 완료)</t>
    <phoneticPr fontId="2" type="noConversion"/>
  </si>
  <si>
    <t>1) 설치 안됨 : 설치 필요</t>
    <phoneticPr fontId="2" type="noConversion"/>
  </si>
  <si>
    <t>2) FAN 소음</t>
    <phoneticPr fontId="2" type="noConversion"/>
  </si>
  <si>
    <t>3) 알람 초기화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</si>
</sst>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26" formatCode="\$#,##0.00_);[Red]\(\$#,##0.00\)"/>
    <numFmt numFmtId="176" formatCode="mm&quot;월&quot;\ dd&quot;일&quot;"/>
    <numFmt numFmtId="177" formatCode="0.0000_);[Red]\(0.0000\)"/>
    <numFmt numFmtId="178" formatCode="_-\$* #,##0.0000_ ;_-\$* \-#,##0.0000\ ;_-\$* &quot;-&quot;????_ ;_-@_ 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>
      <alignment vertical="center"/>
    </xf>
    <xf numFmtId="178" fontId="0" fillId="0" borderId="0" xfId="0" applyNumberFormat="1">
      <alignment vertical="center"/>
    </xf>
    <xf numFmtId="26" fontId="0" fillId="0" borderId="0" xfId="0" applyNumberFormat="1">
      <alignment vertical="center"/>
    </xf>
    <xf numFmtId="0" fontId="0" fillId="0" borderId="0" xfId="0" quotePrefix="1">
      <alignment vertical="center"/>
    </xf>
    <xf numFmtId="177" fontId="0" fillId="0" borderId="0" xfId="0" applyNumberFormat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9" fontId="0" fillId="0" borderId="5" xfId="3" applyFont="1" applyBorder="1">
      <alignment vertical="center"/>
    </xf>
    <xf numFmtId="0" fontId="7" fillId="5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176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176" fontId="0" fillId="0" borderId="5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176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">
    <cellStyle name="백분율" xfId="3" builtinId="5"/>
    <cellStyle name="표준" xfId="0" builtinId="0"/>
    <cellStyle name="표준 2 2" xfId="2" xr:uid="{00000000-0005-0000-0000-000002000000}"/>
    <cellStyle name="표준 3" xfId="1" xr:uid="{00000000-0005-0000-0000-000003000000}"/>
  </cellStyles>
  <dxfs count="13"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28"/>
  <sheetViews>
    <sheetView showGridLines="0" tabSelected="1" zoomScale="70" zoomScaleNormal="70" zoomScaleSheetLayoutView="115" workbookViewId="0">
      <pane xSplit="6" ySplit="4" topLeftCell="G5" activePane="bottomRight" state="frozen"/>
      <selection pane="topRight" activeCell="E1" sqref="E1"/>
      <selection pane="bottomLeft" activeCell="A5" sqref="A5"/>
      <selection pane="bottomRight" activeCell="H8" sqref="H8"/>
    </sheetView>
  </sheetViews>
  <sheetFormatPr defaultRowHeight="16.899999999999999" x14ac:dyDescent="0.6"/>
  <cols>
    <col min="2" max="2" width="9.125" style="1" customWidth="1"/>
    <col min="3" max="3" width="5.125" style="1" customWidth="1"/>
    <col min="4" max="4" width="13" style="1" bestFit="1" customWidth="1"/>
    <col min="5" max="5" width="52.625" bestFit="1" customWidth="1"/>
    <col min="6" max="6" width="9" style="1"/>
    <col min="7" max="7" width="53.375" bestFit="1" customWidth="1"/>
    <col min="8" max="8" width="73" customWidth="1"/>
    <col min="9" max="9" width="10.625" style="1" bestFit="1" customWidth="1"/>
    <col min="10" max="10" width="10.625" style="1" customWidth="1"/>
    <col min="11" max="11" width="10.625" style="1" bestFit="1" customWidth="1"/>
    <col min="12" max="12" width="92.125" style="1" customWidth="1"/>
    <col min="13" max="13" width="41.5" bestFit="1" customWidth="1"/>
    <col min="18" max="18" width="13.5" bestFit="1" customWidth="1"/>
    <col min="19" max="19" width="14.625" customWidth="1"/>
    <col min="20" max="20" width="16.75" bestFit="1" customWidth="1"/>
  </cols>
  <sheetData>
    <row r="1" spans="2:20" x14ac:dyDescent="0.6">
      <c r="F1" s="19" t="s">
        <v>6</v>
      </c>
      <c r="G1" s="6">
        <f>COUNTIF(F17:F85,"OK")</f>
        <v>0</v>
      </c>
      <c r="H1" s="20">
        <f>G1/SUM(G1:G3)</f>
        <v>0</v>
      </c>
    </row>
    <row r="2" spans="2:20" x14ac:dyDescent="0.6">
      <c r="F2" s="18" t="s">
        <v>10</v>
      </c>
      <c r="G2" s="6">
        <f>COUNTIF(F5:F85,"ING")</f>
        <v>14</v>
      </c>
      <c r="H2" s="20">
        <f>G2/SUM(G1:G3)</f>
        <v>1</v>
      </c>
    </row>
    <row r="3" spans="2:20" ht="16.5" customHeight="1" x14ac:dyDescent="0.6">
      <c r="F3" s="21" t="s">
        <v>7</v>
      </c>
      <c r="G3" s="6">
        <f>COUNTIF(F17:F85,"PENDING")</f>
        <v>0</v>
      </c>
      <c r="H3" s="20">
        <f>G3/SUM(G1:G3)</f>
        <v>0</v>
      </c>
    </row>
    <row r="4" spans="2:20" ht="25.5" customHeight="1" x14ac:dyDescent="0.6">
      <c r="B4" s="3" t="s">
        <v>11</v>
      </c>
      <c r="C4" s="3" t="s">
        <v>0</v>
      </c>
      <c r="D4" s="3" t="s">
        <v>4</v>
      </c>
      <c r="E4" s="3" t="s">
        <v>8</v>
      </c>
      <c r="F4" s="2" t="s">
        <v>3</v>
      </c>
      <c r="G4" s="5" t="s">
        <v>9</v>
      </c>
      <c r="H4" s="2" t="s">
        <v>13</v>
      </c>
      <c r="I4" s="36" t="s">
        <v>14</v>
      </c>
      <c r="J4" s="36" t="s">
        <v>15</v>
      </c>
      <c r="K4" s="36" t="s">
        <v>2</v>
      </c>
      <c r="L4" s="2" t="s">
        <v>5</v>
      </c>
      <c r="M4" s="4" t="s">
        <v>1</v>
      </c>
    </row>
    <row r="5" spans="2:20" ht="58.5" customHeight="1" x14ac:dyDescent="0.6">
      <c r="B5" s="37" t="s">
        <v>12</v>
      </c>
      <c r="C5" s="41">
        <v>1</v>
      </c>
      <c r="D5" s="37" t="s">
        <v>30</v>
      </c>
      <c r="E5" s="28" t="s">
        <v>31</v>
      </c>
      <c r="F5" s="27" t="s">
        <v>10</v>
      </c>
      <c r="G5" s="33" t="s">
        <v>35</v>
      </c>
      <c r="H5" s="26"/>
      <c r="I5" s="25">
        <v>46286</v>
      </c>
      <c r="J5" s="25" t="s">
        <v>16</v>
      </c>
      <c r="K5" s="25"/>
      <c r="L5" s="34"/>
      <c r="M5" s="34"/>
      <c r="P5" s="7"/>
    </row>
    <row r="6" spans="2:20" ht="58.5" customHeight="1" x14ac:dyDescent="0.6">
      <c r="B6" s="38"/>
      <c r="C6" s="41"/>
      <c r="D6" s="38"/>
      <c r="E6" s="43" t="s">
        <v>32</v>
      </c>
      <c r="F6" s="27" t="s">
        <v>10</v>
      </c>
      <c r="G6" s="42" t="s">
        <v>36</v>
      </c>
      <c r="H6" s="26"/>
      <c r="I6" s="25">
        <v>46286</v>
      </c>
      <c r="J6" s="25" t="s">
        <v>16</v>
      </c>
      <c r="K6" s="25"/>
      <c r="L6" s="14"/>
      <c r="M6" s="17"/>
      <c r="P6" s="7"/>
      <c r="S6" s="8"/>
      <c r="T6" s="9"/>
    </row>
    <row r="7" spans="2:20" ht="58.5" customHeight="1" x14ac:dyDescent="0.6">
      <c r="B7" s="38"/>
      <c r="C7" s="41"/>
      <c r="D7" s="39"/>
      <c r="E7" s="44" t="s">
        <v>54</v>
      </c>
      <c r="F7" s="22" t="s">
        <v>10</v>
      </c>
      <c r="G7" s="32" t="s">
        <v>37</v>
      </c>
      <c r="H7" s="24"/>
      <c r="I7" s="25">
        <v>46286</v>
      </c>
      <c r="J7" s="25" t="s">
        <v>16</v>
      </c>
      <c r="K7" s="25"/>
      <c r="L7" s="14"/>
      <c r="M7" s="17"/>
      <c r="P7" s="40"/>
      <c r="S7" s="8"/>
      <c r="T7" s="9"/>
    </row>
    <row r="8" spans="2:20" ht="58.5" customHeight="1" x14ac:dyDescent="0.6">
      <c r="B8" s="38"/>
      <c r="C8" s="41">
        <v>2</v>
      </c>
      <c r="D8" s="37" t="s">
        <v>33</v>
      </c>
      <c r="E8" s="45" t="s">
        <v>34</v>
      </c>
      <c r="F8" s="12" t="s">
        <v>10</v>
      </c>
      <c r="G8" s="23" t="s">
        <v>38</v>
      </c>
      <c r="H8" s="29"/>
      <c r="I8" s="25">
        <v>46286</v>
      </c>
      <c r="J8" s="25" t="s">
        <v>16</v>
      </c>
      <c r="K8" s="25"/>
      <c r="L8" s="15"/>
      <c r="M8" s="16"/>
      <c r="P8" s="40"/>
      <c r="S8" s="8"/>
      <c r="T8" s="9"/>
    </row>
    <row r="9" spans="2:20" ht="58.5" customHeight="1" x14ac:dyDescent="0.6">
      <c r="B9" s="38"/>
      <c r="C9" s="41"/>
      <c r="D9" s="38"/>
      <c r="E9" s="28" t="s">
        <v>53</v>
      </c>
      <c r="F9" s="27" t="s">
        <v>10</v>
      </c>
      <c r="G9" s="30" t="s">
        <v>39</v>
      </c>
      <c r="H9" s="28"/>
      <c r="I9" s="25">
        <v>46286</v>
      </c>
      <c r="J9" s="25" t="s">
        <v>16</v>
      </c>
      <c r="K9" s="25"/>
      <c r="L9" s="31"/>
      <c r="M9" s="31"/>
      <c r="P9" s="40"/>
      <c r="S9" s="11"/>
    </row>
    <row r="10" spans="2:20" ht="58.5" customHeight="1" x14ac:dyDescent="0.6">
      <c r="B10" s="38"/>
      <c r="C10" s="41">
        <v>3</v>
      </c>
      <c r="D10" s="37" t="s">
        <v>45</v>
      </c>
      <c r="E10" s="45" t="s">
        <v>50</v>
      </c>
      <c r="F10" s="12" t="s">
        <v>10</v>
      </c>
      <c r="G10" s="23" t="s">
        <v>51</v>
      </c>
      <c r="H10" s="29"/>
      <c r="I10" s="25">
        <v>46286</v>
      </c>
      <c r="J10" s="25" t="s">
        <v>16</v>
      </c>
      <c r="K10" s="25"/>
      <c r="L10" s="15"/>
      <c r="M10" s="16"/>
      <c r="P10" s="40"/>
      <c r="S10" s="8"/>
      <c r="T10" s="9"/>
    </row>
    <row r="11" spans="2:20" ht="58.5" customHeight="1" x14ac:dyDescent="0.6">
      <c r="B11" s="38"/>
      <c r="C11" s="41"/>
      <c r="D11" s="38"/>
      <c r="E11" s="28" t="s">
        <v>49</v>
      </c>
      <c r="F11" s="27" t="s">
        <v>10</v>
      </c>
      <c r="G11" s="30" t="s">
        <v>52</v>
      </c>
      <c r="H11" s="28"/>
      <c r="I11" s="25">
        <v>46286</v>
      </c>
      <c r="J11" s="25" t="s">
        <v>16</v>
      </c>
      <c r="K11" s="25"/>
      <c r="L11" s="31"/>
      <c r="M11" s="31"/>
      <c r="P11" s="10"/>
      <c r="S11" s="11"/>
    </row>
    <row r="12" spans="2:20" ht="58.5" customHeight="1" x14ac:dyDescent="0.6">
      <c r="B12" s="38"/>
      <c r="C12" s="41"/>
      <c r="D12" s="38"/>
      <c r="E12" s="28" t="s">
        <v>47</v>
      </c>
      <c r="F12" s="27" t="s">
        <v>10</v>
      </c>
      <c r="G12" s="35" t="s">
        <v>48</v>
      </c>
      <c r="H12" s="28"/>
      <c r="I12" s="25">
        <v>46286</v>
      </c>
      <c r="J12" s="25" t="s">
        <v>16</v>
      </c>
      <c r="K12" s="25"/>
      <c r="L12" s="31"/>
      <c r="M12" s="31"/>
      <c r="P12" s="10"/>
      <c r="S12" s="11"/>
    </row>
    <row r="13" spans="2:20" ht="58.5" customHeight="1" x14ac:dyDescent="0.6">
      <c r="B13" s="37" t="s">
        <v>17</v>
      </c>
      <c r="C13" s="37">
        <v>4</v>
      </c>
      <c r="D13" s="37" t="s">
        <v>25</v>
      </c>
      <c r="E13" s="28" t="s">
        <v>19</v>
      </c>
      <c r="F13" s="27" t="s">
        <v>10</v>
      </c>
      <c r="G13" s="33" t="s">
        <v>41</v>
      </c>
      <c r="H13" s="26"/>
      <c r="I13" s="25">
        <v>46286</v>
      </c>
      <c r="J13" s="25" t="s">
        <v>16</v>
      </c>
      <c r="K13" s="25"/>
      <c r="L13" s="34"/>
      <c r="M13" s="34"/>
      <c r="P13" s="7"/>
    </row>
    <row r="14" spans="2:20" ht="58.5" customHeight="1" x14ac:dyDescent="0.6">
      <c r="B14" s="38"/>
      <c r="C14" s="39"/>
      <c r="D14" s="39"/>
      <c r="E14" s="43" t="s">
        <v>26</v>
      </c>
      <c r="F14" s="27" t="s">
        <v>10</v>
      </c>
      <c r="G14" s="42" t="s">
        <v>27</v>
      </c>
      <c r="H14" s="26"/>
      <c r="I14" s="25">
        <v>46286</v>
      </c>
      <c r="J14" s="25" t="s">
        <v>16</v>
      </c>
      <c r="K14" s="25"/>
      <c r="L14" s="14"/>
      <c r="M14" s="17"/>
      <c r="P14" s="7"/>
      <c r="S14" s="8"/>
      <c r="T14" s="9"/>
    </row>
    <row r="15" spans="2:20" ht="58.5" customHeight="1" x14ac:dyDescent="0.6">
      <c r="B15" s="38"/>
      <c r="C15" s="27">
        <v>5</v>
      </c>
      <c r="D15" s="27" t="s">
        <v>28</v>
      </c>
      <c r="E15" s="43" t="s">
        <v>29</v>
      </c>
      <c r="F15" s="27" t="s">
        <v>10</v>
      </c>
      <c r="G15" s="42" t="s">
        <v>20</v>
      </c>
      <c r="H15" s="26"/>
      <c r="I15" s="25">
        <v>46286</v>
      </c>
      <c r="J15" s="25" t="s">
        <v>16</v>
      </c>
      <c r="K15" s="25"/>
      <c r="L15" s="14"/>
      <c r="M15" s="17"/>
      <c r="P15" s="7"/>
      <c r="S15" s="8"/>
      <c r="T15" s="9"/>
    </row>
    <row r="16" spans="2:20" ht="58.5" customHeight="1" x14ac:dyDescent="0.6">
      <c r="B16" s="38"/>
      <c r="C16" s="27">
        <v>6</v>
      </c>
      <c r="D16" s="13" t="s">
        <v>40</v>
      </c>
      <c r="E16" s="44" t="s">
        <v>21</v>
      </c>
      <c r="F16" s="22" t="s">
        <v>10</v>
      </c>
      <c r="G16" s="32" t="s">
        <v>22</v>
      </c>
      <c r="H16" s="24"/>
      <c r="I16" s="25">
        <v>46286</v>
      </c>
      <c r="J16" s="25" t="s">
        <v>16</v>
      </c>
      <c r="K16" s="25"/>
      <c r="L16" s="14"/>
      <c r="M16" s="17"/>
      <c r="P16" s="1"/>
      <c r="S16" s="8"/>
      <c r="T16" s="9"/>
    </row>
    <row r="17" spans="2:20" ht="58.5" customHeight="1" x14ac:dyDescent="0.6">
      <c r="B17" s="37" t="s">
        <v>18</v>
      </c>
      <c r="C17" s="27">
        <v>7</v>
      </c>
      <c r="D17" s="27" t="s">
        <v>42</v>
      </c>
      <c r="E17" s="45" t="s">
        <v>23</v>
      </c>
      <c r="F17" s="12" t="s">
        <v>10</v>
      </c>
      <c r="G17" s="23" t="s">
        <v>46</v>
      </c>
      <c r="H17" s="29"/>
      <c r="I17" s="25">
        <v>46286</v>
      </c>
      <c r="J17" s="25" t="s">
        <v>16</v>
      </c>
      <c r="K17" s="25"/>
      <c r="L17" s="34"/>
      <c r="M17" s="34"/>
      <c r="P17" s="7"/>
    </row>
    <row r="18" spans="2:20" ht="58.5" customHeight="1" x14ac:dyDescent="0.6">
      <c r="B18" s="39"/>
      <c r="C18" s="27">
        <v>8</v>
      </c>
      <c r="D18" s="13" t="s">
        <v>43</v>
      </c>
      <c r="E18" s="28" t="s">
        <v>44</v>
      </c>
      <c r="F18" s="27" t="s">
        <v>10</v>
      </c>
      <c r="G18" s="30" t="s">
        <v>24</v>
      </c>
      <c r="H18" s="28"/>
      <c r="I18" s="25">
        <v>46286</v>
      </c>
      <c r="J18" s="25" t="s">
        <v>16</v>
      </c>
      <c r="K18" s="25"/>
      <c r="L18" s="14"/>
      <c r="M18" s="17"/>
      <c r="P18" s="7"/>
      <c r="S18" s="8"/>
      <c r="T18" s="9"/>
    </row>
    <row r="25" spans="2:20" x14ac:dyDescent="0.6">
      <c r="E25" s="1"/>
      <c r="F25"/>
      <c r="H25" s="1"/>
      <c r="L25"/>
    </row>
    <row r="26" spans="2:20" x14ac:dyDescent="0.6">
      <c r="E26" s="1"/>
      <c r="F26"/>
      <c r="H26" s="1"/>
      <c r="L26"/>
    </row>
    <row r="27" spans="2:20" x14ac:dyDescent="0.6">
      <c r="E27" s="1"/>
      <c r="F27"/>
      <c r="H27" s="1"/>
      <c r="L27"/>
    </row>
    <row r="28" spans="2:20" x14ac:dyDescent="0.6">
      <c r="E28" s="1"/>
      <c r="F28"/>
      <c r="H28" s="1"/>
      <c r="L28"/>
    </row>
  </sheetData>
  <mergeCells count="12">
    <mergeCell ref="D13:D14"/>
    <mergeCell ref="C13:C14"/>
    <mergeCell ref="C8:C9"/>
    <mergeCell ref="D8:D9"/>
    <mergeCell ref="B13:B16"/>
    <mergeCell ref="B5:B12"/>
    <mergeCell ref="C5:C7"/>
    <mergeCell ref="D5:D7"/>
    <mergeCell ref="P7:P10"/>
    <mergeCell ref="C10:C12"/>
    <mergeCell ref="D10:D12"/>
    <mergeCell ref="B17:B18"/>
  </mergeCells>
  <phoneticPr fontId="2" type="noConversion"/>
  <conditionalFormatting sqref="F5:F18">
    <cfRule type="cellIs" dxfId="12" priority="55" operator="equal">
      <formula>$F$3</formula>
    </cfRule>
    <cfRule type="cellIs" dxfId="11" priority="56" operator="equal">
      <formula>$F$2</formula>
    </cfRule>
    <cfRule type="cellIs" dxfId="10" priority="57" operator="equal">
      <formula>$F$1</formula>
    </cfRule>
  </conditionalFormatting>
  <conditionalFormatting sqref="F27">
    <cfRule type="uniqueValues" dxfId="9" priority="116"/>
  </conditionalFormatting>
  <conditionalFormatting sqref="I17:K18">
    <cfRule type="cellIs" dxfId="8" priority="7" operator="equal">
      <formula>$F$3</formula>
    </cfRule>
    <cfRule type="cellIs" dxfId="7" priority="8" operator="equal">
      <formula>$F$2</formula>
    </cfRule>
    <cfRule type="cellIs" dxfId="6" priority="9" operator="equal">
      <formula>$F$1</formula>
    </cfRule>
  </conditionalFormatting>
  <conditionalFormatting sqref="I5:K12">
    <cfRule type="cellIs" dxfId="5" priority="4" operator="equal">
      <formula>$F$3</formula>
    </cfRule>
    <cfRule type="cellIs" dxfId="4" priority="5" operator="equal">
      <formula>$F$2</formula>
    </cfRule>
    <cfRule type="cellIs" dxfId="3" priority="6" operator="equal">
      <formula>$F$1</formula>
    </cfRule>
  </conditionalFormatting>
  <conditionalFormatting sqref="I13:K16">
    <cfRule type="cellIs" dxfId="2" priority="1" operator="equal">
      <formula>$F$3</formula>
    </cfRule>
    <cfRule type="cellIs" dxfId="1" priority="2" operator="equal">
      <formula>$F$2</formula>
    </cfRule>
    <cfRule type="cellIs" dxfId="0" priority="3" operator="equal">
      <formula>$F$1</formula>
    </cfRule>
  </conditionalFormatting>
  <pageMargins left="0.25" right="0.25" top="0.75" bottom="0.75" header="0.3" footer="0.3"/>
  <pageSetup paperSize="8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손 세현</cp:lastModifiedBy>
  <cp:lastPrinted>2019-05-09T04:15:54Z</cp:lastPrinted>
  <dcterms:created xsi:type="dcterms:W3CDTF">2018-10-10T23:48:13Z</dcterms:created>
  <dcterms:modified xsi:type="dcterms:W3CDTF">2026-09-21T08:01:38Z</dcterms:modified>
</cp:coreProperties>
</file>